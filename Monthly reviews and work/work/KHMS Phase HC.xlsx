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heinz365.sharepoint.com/sites/KHCGBSOpExProject/Shared Documents/GBS KHMS - Light/GBS KHMS - Light Health checks/"/>
    </mc:Choice>
  </mc:AlternateContent>
  <xr:revisionPtr revIDLastSave="0" documentId="8_{C5DA53D1-5E42-4EA2-925B-583C9019E28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ealth_Check" sheetId="1" r:id="rId1"/>
    <sheet name="List" sheetId="3" r:id="rId2"/>
    <sheet name="Dashboard" sheetId="2" r:id="rId3"/>
  </sheets>
  <definedNames>
    <definedName name="_xlnm._FilterDatabase" localSheetId="0" hidden="1">Health_Check!$A$2:$F$39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2" l="1"/>
  <c r="C20" i="2" s="1"/>
  <c r="B19" i="2"/>
  <c r="C19" i="2" s="1"/>
  <c r="B18" i="2"/>
  <c r="C18" i="2" s="1"/>
  <c r="B17" i="2"/>
  <c r="F14" i="2"/>
  <c r="G14" i="2" s="1"/>
  <c r="F13" i="2"/>
  <c r="G13" i="2" s="1"/>
  <c r="F12" i="2"/>
  <c r="G12" i="2" s="1"/>
  <c r="F11" i="2"/>
  <c r="G11" i="2" s="1"/>
  <c r="F10" i="2"/>
  <c r="G10" i="2" s="1"/>
  <c r="F9" i="2"/>
  <c r="B13" i="2"/>
  <c r="C13" i="2" s="1"/>
  <c r="B12" i="2"/>
  <c r="C12" i="2" s="1"/>
  <c r="B11" i="2"/>
  <c r="C11" i="2" s="1"/>
  <c r="B10" i="2"/>
  <c r="C10" i="2" s="1"/>
  <c r="B9" i="2"/>
  <c r="C9" i="2" s="1"/>
  <c r="B4" i="2"/>
  <c r="B5" i="2" s="1"/>
  <c r="F19" i="2" l="1"/>
  <c r="F17" i="2"/>
  <c r="G9" i="2"/>
  <c r="B6" i="2"/>
  <c r="C17" i="2"/>
  <c r="F18" i="2"/>
</calcChain>
</file>

<file path=xl/sharedStrings.xml><?xml version="1.0" encoding="utf-8"?>
<sst xmlns="http://schemas.openxmlformats.org/spreadsheetml/2006/main" count="271" uniqueCount="116">
  <si>
    <t>Chapter</t>
  </si>
  <si>
    <t>KHMS Pillar</t>
  </si>
  <si>
    <t>Maturity Pillar</t>
  </si>
  <si>
    <t>Tool</t>
  </si>
  <si>
    <t>Question</t>
  </si>
  <si>
    <t>Score (%)</t>
  </si>
  <si>
    <t>Business Process Design</t>
  </si>
  <si>
    <t>Delivery</t>
  </si>
  <si>
    <t>Adoption</t>
  </si>
  <si>
    <t>SIPOC</t>
  </si>
  <si>
    <t>% processes with SIPOC created</t>
  </si>
  <si>
    <t>Discipline</t>
  </si>
  <si>
    <t>% SIPOCs used in governance reviews</t>
  </si>
  <si>
    <t>% teams trained on SIPOC</t>
  </si>
  <si>
    <t>% SIPOCs stored in SharePoint</t>
  </si>
  <si>
    <t>SIPOC reviewed on scope change</t>
  </si>
  <si>
    <t>Strategy Deployment</t>
  </si>
  <si>
    <t>Strategy</t>
  </si>
  <si>
    <t>KPI</t>
  </si>
  <si>
    <t>% KPIs defined with owner &amp; target</t>
  </si>
  <si>
    <t>% KPIs reviewed weekly</t>
  </si>
  <si>
    <t>% KPI deviations leading to actions</t>
  </si>
  <si>
    <t>% KPI reviews with RCA</t>
  </si>
  <si>
    <t>Stability</t>
  </si>
  <si>
    <t>% KPIs consistently met</t>
  </si>
  <si>
    <t>% scorecards updated on time</t>
  </si>
  <si>
    <t>Workforce Management</t>
  </si>
  <si>
    <t>People</t>
  </si>
  <si>
    <t>Backup</t>
  </si>
  <si>
    <t>% roles with backup defined</t>
  </si>
  <si>
    <t>% backups trained</t>
  </si>
  <si>
    <t>% backup testing conducted</t>
  </si>
  <si>
    <t>% successful backup usage</t>
  </si>
  <si>
    <t>% backup matrix reviewed</t>
  </si>
  <si>
    <t>Customer Dialogue Mgmt</t>
  </si>
  <si>
    <t>Customer</t>
  </si>
  <si>
    <t>Escalation</t>
  </si>
  <si>
    <t>% processes with escalation matrix</t>
  </si>
  <si>
    <t>% escalations handled as per matrix</t>
  </si>
  <si>
    <t>% escalations resolved within SLA</t>
  </si>
  <si>
    <t>Problem Solving</t>
  </si>
  <si>
    <t>% escalations with RCA</t>
  </si>
  <si>
    <t>% repeat escalations reduced</t>
  </si>
  <si>
    <t>% escalation trend reduction</t>
  </si>
  <si>
    <t>C&amp;A</t>
  </si>
  <si>
    <t>% Check &amp; Assess completed</t>
  </si>
  <si>
    <t>% actions closed</t>
  </si>
  <si>
    <t>% customers covered</t>
  </si>
  <si>
    <t>% promoters</t>
  </si>
  <si>
    <t>% detractors</t>
  </si>
  <si>
    <t>Performance Management</t>
  </si>
  <si>
    <t>Day Start</t>
  </si>
  <si>
    <t>% daily meetings conducted</t>
  </si>
  <si>
    <t>% adherence to agenda</t>
  </si>
  <si>
    <t>% issues tracked</t>
  </si>
  <si>
    <t>% issues solved</t>
  </si>
  <si>
    <t>% actions closed on time</t>
  </si>
  <si>
    <t>Daily Improvement</t>
  </si>
  <si>
    <t>Improvement</t>
  </si>
  <si>
    <t>IPA</t>
  </si>
  <si>
    <t>% issues with RCA</t>
  </si>
  <si>
    <t>% IPA completed</t>
  </si>
  <si>
    <t>% recurrence reduced</t>
  </si>
  <si>
    <t>% improvements sustained</t>
  </si>
  <si>
    <t>ADOPTION</t>
  </si>
  <si>
    <t>L1</t>
  </si>
  <si>
    <t>L2</t>
  </si>
  <si>
    <t>L3</t>
  </si>
  <si>
    <t>L4</t>
  </si>
  <si>
    <t>L5</t>
  </si>
  <si>
    <t xml:space="preserve">&lt;60% </t>
  </si>
  <si>
    <t xml:space="preserve">60–80% </t>
  </si>
  <si>
    <t>80–90%</t>
  </si>
  <si>
    <t xml:space="preserve">90–100% </t>
  </si>
  <si>
    <t>Sustained + regularly updated</t>
  </si>
  <si>
    <t>coverage</t>
  </si>
  <si>
    <t xml:space="preserve"> coverage</t>
  </si>
  <si>
    <t>DISCIPLINE</t>
  </si>
  <si>
    <t>Level</t>
  </si>
  <si>
    <t>Criteria</t>
  </si>
  <si>
    <t>&lt;50%</t>
  </si>
  <si>
    <t>50–70%</t>
  </si>
  <si>
    <t>70–85%</t>
  </si>
  <si>
    <t>85–95%</t>
  </si>
  <si>
    <t>&gt;95% (self-driven)</t>
  </si>
  <si>
    <t>PROBLEM SOLVING</t>
  </si>
  <si>
    <t>No structured problem solving</t>
  </si>
  <si>
    <t>Ad-hoc RCA</t>
  </si>
  <si>
    <t>Regular IPA, 60–75% closure</t>
  </si>
  <si>
    <t>&gt;80% closure, recurrence reducing</t>
  </si>
  <si>
    <t>&gt;90% closure, recurrence ↓ significantly</t>
  </si>
  <si>
    <t>STABILITY</t>
  </si>
  <si>
    <r>
      <t>Level</t>
    </r>
    <r>
      <rPr>
        <sz val="10"/>
        <color rgb="FF1B1B1B"/>
        <rFont val="Calibri"/>
        <family val="2"/>
      </rPr>
      <t>​</t>
    </r>
  </si>
  <si>
    <t>L1​</t>
  </si>
  <si>
    <t>L2​</t>
  </si>
  <si>
    <t>L3​</t>
  </si>
  <si>
    <t>L4​</t>
  </si>
  <si>
    <t>L5​</t>
  </si>
  <si>
    <r>
      <t>Criteria</t>
    </r>
    <r>
      <rPr>
        <sz val="10"/>
        <color rgb="FF1B1B1B"/>
        <rFont val="Calibri"/>
        <family val="2"/>
      </rPr>
      <t>​</t>
    </r>
  </si>
  <si>
    <t>SLA &lt;70%, high errors​</t>
  </si>
  <si>
    <t>SLA 70–80%​</t>
  </si>
  <si>
    <t>SLA 80–90%​</t>
  </si>
  <si>
    <t>SLA &gt;90%, low escalations​</t>
  </si>
  <si>
    <t>SLA &gt;95%, very stable​</t>
  </si>
  <si>
    <t>KHMS Phase 1 – DASHBOARD</t>
  </si>
  <si>
    <t>OVERALL SUMMARY</t>
  </si>
  <si>
    <t>Overall Score</t>
  </si>
  <si>
    <t>Status</t>
  </si>
  <si>
    <t>Phase 2 Ready</t>
  </si>
  <si>
    <t>KHMS PILLAR MATURITY</t>
  </si>
  <si>
    <t>CHAPTER MATURITY</t>
  </si>
  <si>
    <t>MATURITY DIMENSIONS</t>
  </si>
  <si>
    <t>KEY INSIGHTS</t>
  </si>
  <si>
    <t>Weakest Pillar</t>
  </si>
  <si>
    <t>Weakest Chapter</t>
  </si>
  <si>
    <t>Weakest 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</si>
</sst>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rgb="FF1B1B1B"/>
      <name val="Calibri"/>
      <family val="2"/>
    </font>
    <font>
      <sz val="10"/>
      <color rgb="FF1B1B1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F2FD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B1B1B"/>
      </left>
      <right style="medium">
        <color rgb="FF1B1B1B"/>
      </right>
      <top style="medium">
        <color rgb="FF1B1B1B"/>
      </top>
      <bottom style="medium">
        <color rgb="FF1B1B1B"/>
      </bottom>
      <diagonal/>
    </border>
    <border>
      <left style="medium">
        <color rgb="FF1B1B1B"/>
      </left>
      <right style="medium">
        <color rgb="FF1B1B1B"/>
      </right>
      <top style="medium">
        <color rgb="FF1B1B1B"/>
      </top>
      <bottom/>
      <diagonal/>
    </border>
    <border>
      <left style="medium">
        <color rgb="FF1B1B1B"/>
      </left>
      <right style="medium">
        <color rgb="FF1B1B1B"/>
      </right>
      <top/>
      <bottom style="medium">
        <color rgb="FF1B1B1B"/>
      </bottom>
      <diagonal/>
    </border>
    <border>
      <left style="thin">
        <color rgb="FF1B1B1B"/>
      </left>
      <right style="thin">
        <color rgb="FF1B1B1B"/>
      </right>
      <top style="thin">
        <color rgb="FF1B1B1B"/>
      </top>
      <bottom style="thin">
        <color rgb="FF1B1B1B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" fontId="2" fillId="0" borderId="1" xfId="0" applyNumberFormat="1" applyFont="1" applyBorder="1"/>
    <xf numFmtId="0" fontId="4" fillId="2" borderId="2" xfId="0" applyFont="1" applyFill="1" applyBorder="1" applyAlignment="1">
      <alignment horizontal="center" wrapText="1" readingOrder="1"/>
    </xf>
    <xf numFmtId="0" fontId="4" fillId="3" borderId="2" xfId="0" applyFont="1" applyFill="1" applyBorder="1" applyAlignment="1">
      <alignment horizontal="center" wrapText="1" readingOrder="1"/>
    </xf>
    <xf numFmtId="0" fontId="5" fillId="2" borderId="3" xfId="0" applyFont="1" applyFill="1" applyBorder="1" applyAlignment="1">
      <alignment horizontal="center" wrapText="1" readingOrder="1"/>
    </xf>
    <xf numFmtId="0" fontId="5" fillId="2" borderId="4" xfId="0" applyFont="1" applyFill="1" applyBorder="1" applyAlignment="1">
      <alignment horizontal="center" wrapText="1" readingOrder="1"/>
    </xf>
    <xf numFmtId="0" fontId="5" fillId="3" borderId="3" xfId="0" applyFont="1" applyFill="1" applyBorder="1" applyAlignment="1">
      <alignment horizontal="center" wrapText="1" readingOrder="1"/>
    </xf>
    <xf numFmtId="0" fontId="5" fillId="3" borderId="4" xfId="0" applyFont="1" applyFill="1" applyBorder="1" applyAlignment="1">
      <alignment horizontal="center" wrapText="1" readingOrder="1"/>
    </xf>
    <xf numFmtId="0" fontId="1" fillId="0" borderId="0" xfId="0" applyFont="1"/>
    <xf numFmtId="0" fontId="5" fillId="2" borderId="2" xfId="0" applyFont="1" applyFill="1" applyBorder="1" applyAlignment="1">
      <alignment horizontal="center" wrapText="1" readingOrder="1"/>
    </xf>
    <xf numFmtId="0" fontId="5" fillId="3" borderId="2" xfId="0" applyFont="1" applyFill="1" applyBorder="1" applyAlignment="1">
      <alignment horizont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vertical="center" wrapText="1" readingOrder="1"/>
    </xf>
    <xf numFmtId="0" fontId="5" fillId="2" borderId="4" xfId="0" applyFont="1" applyFill="1" applyBorder="1" applyAlignment="1">
      <alignment vertical="center" wrapText="1" readingOrder="1"/>
    </xf>
    <xf numFmtId="0" fontId="5" fillId="2" borderId="3" xfId="0" applyFont="1" applyFill="1" applyBorder="1" applyAlignment="1">
      <alignment wrapText="1" readingOrder="1"/>
    </xf>
    <xf numFmtId="0" fontId="5" fillId="2" borderId="4" xfId="0" applyFont="1" applyFill="1" applyBorder="1" applyAlignment="1">
      <alignment wrapText="1" readingOrder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3"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F635C9-4F24-4829-AD7E-82B0B31B0A70}" name="Table2" displayName="Table2" ref="A1:F1048576" totalsRowShown="0" headerRowDxfId="2" headerRowBorderDxfId="0" tableBorderDxfId="1">
  <autoFilter ref="A1:F1048576" xr:uid="{C2F635C9-4F24-4829-AD7E-82B0B31B0A70}">
    <filterColumn colId="0">
      <filters>
        <filter val="Business Process Design"/>
      </filters>
    </filterColumn>
  </autoFilter>
  <tableColumns count="6">
    <tableColumn id="2" xr3:uid="{085B36D3-5019-49AB-B582-68CF3A43909D}" name="Chapter"/>
    <tableColumn id="3" xr3:uid="{DA20D148-B795-4F4C-AE5C-143988A5655A}" name="KHMS Pillar"/>
    <tableColumn id="4" xr3:uid="{92735814-2DD2-4CD9-8EDE-5C9E118A3CC5}" name="Maturity Pillar"/>
    <tableColumn id="5" xr3:uid="{AFA159DF-0A3E-4997-8D94-E996734909A8}" name="Tool"/>
    <tableColumn id="6" xr3:uid="{D06609ED-C0C4-4E1C-BB98-62061BDEC4F8}" name="Question"/>
    <tableColumn id="8" xr3:uid="{2F8B33A7-52CC-4DC0-94B3-9D2FE1F62025}" name="Score (%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topLeftCell="B1" workbookViewId="0">
      <selection activeCell="I30" sqref="I30"/>
    </sheetView>
  </sheetViews>
  <sheetFormatPr defaultRowHeight="15"/>
  <cols>
    <col min="1" max="1" width="25" hidden="1" customWidth="1"/>
    <col min="2" max="2" width="13.28515625" bestFit="1" customWidth="1"/>
    <col min="3" max="3" width="15.5703125" bestFit="1" customWidth="1"/>
    <col min="4" max="4" width="9.85546875" bestFit="1" customWidth="1"/>
    <col min="5" max="5" width="35" bestFit="1" customWidth="1"/>
    <col min="6" max="6" width="10.140625" customWidth="1"/>
    <col min="7" max="7" width="8.85546875" bestFit="1" customWidth="1"/>
  </cols>
  <sheetData>
    <row r="1" spans="1:7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2"/>
    </row>
    <row r="2" spans="1:7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10</v>
      </c>
    </row>
    <row r="3" spans="1:7">
      <c r="A3" s="1" t="s">
        <v>6</v>
      </c>
      <c r="B3" s="1" t="s">
        <v>7</v>
      </c>
      <c r="C3" s="1" t="s">
        <v>11</v>
      </c>
      <c r="D3" s="1" t="s">
        <v>9</v>
      </c>
      <c r="E3" s="1" t="s">
        <v>12</v>
      </c>
      <c r="F3" s="1">
        <v>20</v>
      </c>
    </row>
    <row r="4" spans="1:7">
      <c r="A4" s="1" t="s">
        <v>6</v>
      </c>
      <c r="B4" s="1" t="s">
        <v>7</v>
      </c>
      <c r="C4" s="1" t="s">
        <v>11</v>
      </c>
      <c r="D4" s="1" t="s">
        <v>9</v>
      </c>
      <c r="E4" s="1" t="s">
        <v>13</v>
      </c>
      <c r="F4" s="1">
        <v>30</v>
      </c>
    </row>
    <row r="5" spans="1:7">
      <c r="A5" s="1" t="s">
        <v>6</v>
      </c>
      <c r="B5" s="1" t="s">
        <v>7</v>
      </c>
      <c r="C5" s="1" t="s">
        <v>11</v>
      </c>
      <c r="D5" s="1" t="s">
        <v>9</v>
      </c>
      <c r="E5" s="1" t="s">
        <v>14</v>
      </c>
      <c r="F5" s="1">
        <v>40</v>
      </c>
    </row>
    <row r="6" spans="1:7">
      <c r="A6" s="1" t="s">
        <v>6</v>
      </c>
      <c r="B6" s="1" t="s">
        <v>7</v>
      </c>
      <c r="C6" s="1" t="s">
        <v>8</v>
      </c>
      <c r="D6" s="1" t="s">
        <v>9</v>
      </c>
      <c r="E6" s="1" t="s">
        <v>15</v>
      </c>
      <c r="F6" s="1">
        <v>20</v>
      </c>
    </row>
    <row r="7" spans="1:7">
      <c r="A7" s="1" t="s">
        <v>16</v>
      </c>
      <c r="B7" s="1" t="s">
        <v>17</v>
      </c>
      <c r="C7" s="1" t="s">
        <v>8</v>
      </c>
      <c r="D7" s="1" t="s">
        <v>18</v>
      </c>
      <c r="E7" s="1" t="s">
        <v>19</v>
      </c>
      <c r="F7" s="1">
        <v>30</v>
      </c>
    </row>
    <row r="8" spans="1:7">
      <c r="A8" s="1" t="s">
        <v>16</v>
      </c>
      <c r="B8" s="1" t="s">
        <v>17</v>
      </c>
      <c r="C8" s="1" t="s">
        <v>11</v>
      </c>
      <c r="D8" s="1" t="s">
        <v>18</v>
      </c>
      <c r="E8" s="1" t="s">
        <v>20</v>
      </c>
      <c r="F8" s="1">
        <v>50</v>
      </c>
    </row>
    <row r="9" spans="1:7">
      <c r="A9" s="1" t="s">
        <v>16</v>
      </c>
      <c r="B9" s="1" t="s">
        <v>17</v>
      </c>
      <c r="C9" s="1" t="s">
        <v>11</v>
      </c>
      <c r="D9" s="1" t="s">
        <v>18</v>
      </c>
      <c r="E9" s="1" t="s">
        <v>21</v>
      </c>
      <c r="F9" s="1">
        <v>70</v>
      </c>
    </row>
    <row r="10" spans="1:7">
      <c r="A10" s="1" t="s">
        <v>16</v>
      </c>
      <c r="B10" s="1" t="s">
        <v>17</v>
      </c>
      <c r="C10" s="1" t="s">
        <v>11</v>
      </c>
      <c r="D10" s="1" t="s">
        <v>18</v>
      </c>
      <c r="E10" s="1" t="s">
        <v>22</v>
      </c>
      <c r="F10" s="1">
        <v>80</v>
      </c>
    </row>
    <row r="11" spans="1:7">
      <c r="A11" s="1" t="s">
        <v>16</v>
      </c>
      <c r="B11" s="1" t="s">
        <v>17</v>
      </c>
      <c r="C11" s="1" t="s">
        <v>23</v>
      </c>
      <c r="D11" s="1" t="s">
        <v>18</v>
      </c>
      <c r="E11" s="1" t="s">
        <v>24</v>
      </c>
      <c r="F11" s="1">
        <v>90</v>
      </c>
    </row>
    <row r="12" spans="1:7">
      <c r="A12" s="1" t="s">
        <v>16</v>
      </c>
      <c r="B12" s="1" t="s">
        <v>17</v>
      </c>
      <c r="C12" s="1" t="s">
        <v>8</v>
      </c>
      <c r="D12" s="1" t="s">
        <v>18</v>
      </c>
      <c r="E12" s="1" t="s">
        <v>25</v>
      </c>
      <c r="F12" s="1">
        <v>100</v>
      </c>
    </row>
    <row r="13" spans="1:7">
      <c r="A13" s="1" t="s">
        <v>26</v>
      </c>
      <c r="B13" s="1" t="s">
        <v>27</v>
      </c>
      <c r="C13" s="1" t="s">
        <v>8</v>
      </c>
      <c r="D13" s="1" t="s">
        <v>28</v>
      </c>
      <c r="E13" s="1" t="s">
        <v>29</v>
      </c>
      <c r="F13" s="1">
        <v>10</v>
      </c>
    </row>
    <row r="14" spans="1:7">
      <c r="A14" s="1" t="s">
        <v>26</v>
      </c>
      <c r="B14" s="1" t="s">
        <v>27</v>
      </c>
      <c r="C14" s="1" t="s">
        <v>11</v>
      </c>
      <c r="D14" s="1" t="s">
        <v>28</v>
      </c>
      <c r="E14" s="1" t="s">
        <v>30</v>
      </c>
      <c r="F14" s="1">
        <v>20</v>
      </c>
    </row>
    <row r="15" spans="1:7">
      <c r="A15" s="1" t="s">
        <v>26</v>
      </c>
      <c r="B15" s="1" t="s">
        <v>27</v>
      </c>
      <c r="C15" s="1" t="s">
        <v>11</v>
      </c>
      <c r="D15" s="1" t="s">
        <v>28</v>
      </c>
      <c r="E15" s="1" t="s">
        <v>31</v>
      </c>
      <c r="F15" s="1">
        <v>30</v>
      </c>
    </row>
    <row r="16" spans="1:7">
      <c r="A16" s="1" t="s">
        <v>26</v>
      </c>
      <c r="B16" s="1" t="s">
        <v>27</v>
      </c>
      <c r="C16" s="1" t="s">
        <v>23</v>
      </c>
      <c r="D16" s="1" t="s">
        <v>28</v>
      </c>
      <c r="E16" s="1" t="s">
        <v>32</v>
      </c>
      <c r="F16" s="1">
        <v>40</v>
      </c>
    </row>
    <row r="17" spans="1:6">
      <c r="A17" s="1" t="s">
        <v>26</v>
      </c>
      <c r="B17" s="1" t="s">
        <v>27</v>
      </c>
      <c r="C17" s="1" t="s">
        <v>8</v>
      </c>
      <c r="D17" s="1" t="s">
        <v>28</v>
      </c>
      <c r="E17" s="1" t="s">
        <v>33</v>
      </c>
      <c r="F17" s="1">
        <v>20</v>
      </c>
    </row>
    <row r="18" spans="1:6">
      <c r="A18" s="1" t="s">
        <v>34</v>
      </c>
      <c r="B18" s="1" t="s">
        <v>35</v>
      </c>
      <c r="C18" s="1" t="s">
        <v>8</v>
      </c>
      <c r="D18" s="1" t="s">
        <v>36</v>
      </c>
      <c r="E18" s="1" t="s">
        <v>37</v>
      </c>
      <c r="F18" s="1">
        <v>30</v>
      </c>
    </row>
    <row r="19" spans="1:6">
      <c r="A19" s="1" t="s">
        <v>34</v>
      </c>
      <c r="B19" s="1" t="s">
        <v>35</v>
      </c>
      <c r="C19" s="1" t="s">
        <v>11</v>
      </c>
      <c r="D19" s="1" t="s">
        <v>36</v>
      </c>
      <c r="E19" s="1" t="s">
        <v>38</v>
      </c>
      <c r="F19" s="1">
        <v>50</v>
      </c>
    </row>
    <row r="20" spans="1:6">
      <c r="A20" s="1" t="s">
        <v>34</v>
      </c>
      <c r="B20" s="1" t="s">
        <v>35</v>
      </c>
      <c r="C20" s="1" t="s">
        <v>11</v>
      </c>
      <c r="D20" s="1" t="s">
        <v>36</v>
      </c>
      <c r="E20" s="1" t="s">
        <v>39</v>
      </c>
      <c r="F20" s="1">
        <v>70</v>
      </c>
    </row>
    <row r="21" spans="1:6">
      <c r="A21" s="1" t="s">
        <v>34</v>
      </c>
      <c r="B21" s="1" t="s">
        <v>35</v>
      </c>
      <c r="C21" s="1" t="s">
        <v>40</v>
      </c>
      <c r="D21" s="1" t="s">
        <v>36</v>
      </c>
      <c r="E21" s="1" t="s">
        <v>41</v>
      </c>
      <c r="F21" s="1">
        <v>80</v>
      </c>
    </row>
    <row r="22" spans="1:6">
      <c r="A22" s="1" t="s">
        <v>34</v>
      </c>
      <c r="B22" s="1" t="s">
        <v>35</v>
      </c>
      <c r="C22" s="1" t="s">
        <v>40</v>
      </c>
      <c r="D22" s="1" t="s">
        <v>36</v>
      </c>
      <c r="E22" s="1" t="s">
        <v>42</v>
      </c>
      <c r="F22" s="1">
        <v>90</v>
      </c>
    </row>
    <row r="23" spans="1:6">
      <c r="A23" s="1" t="s">
        <v>34</v>
      </c>
      <c r="B23" s="1" t="s">
        <v>35</v>
      </c>
      <c r="C23" s="1" t="s">
        <v>23</v>
      </c>
      <c r="D23" s="1" t="s">
        <v>36</v>
      </c>
      <c r="E23" s="1" t="s">
        <v>43</v>
      </c>
      <c r="F23" s="1">
        <v>100</v>
      </c>
    </row>
    <row r="24" spans="1:6">
      <c r="A24" s="1" t="s">
        <v>34</v>
      </c>
      <c r="B24" s="1" t="s">
        <v>35</v>
      </c>
      <c r="C24" s="1" t="s">
        <v>11</v>
      </c>
      <c r="D24" s="1" t="s">
        <v>44</v>
      </c>
      <c r="E24" s="1" t="s">
        <v>45</v>
      </c>
      <c r="F24" s="1">
        <v>10</v>
      </c>
    </row>
    <row r="25" spans="1:6">
      <c r="A25" s="1" t="s">
        <v>34</v>
      </c>
      <c r="B25" s="1" t="s">
        <v>35</v>
      </c>
      <c r="C25" s="1" t="s">
        <v>8</v>
      </c>
      <c r="D25" s="1" t="s">
        <v>44</v>
      </c>
      <c r="E25" s="1" t="s">
        <v>46</v>
      </c>
      <c r="F25" s="1">
        <v>20</v>
      </c>
    </row>
    <row r="26" spans="1:6">
      <c r="A26" s="1" t="s">
        <v>34</v>
      </c>
      <c r="B26" s="1" t="s">
        <v>35</v>
      </c>
      <c r="C26" s="1" t="s">
        <v>23</v>
      </c>
      <c r="D26" s="1" t="s">
        <v>44</v>
      </c>
      <c r="E26" s="1" t="s">
        <v>47</v>
      </c>
      <c r="F26" s="1">
        <v>30</v>
      </c>
    </row>
    <row r="27" spans="1:6">
      <c r="A27" s="1" t="s">
        <v>34</v>
      </c>
      <c r="B27" s="1" t="s">
        <v>35</v>
      </c>
      <c r="C27" s="1" t="s">
        <v>23</v>
      </c>
      <c r="D27" s="1" t="s">
        <v>44</v>
      </c>
      <c r="E27" s="1" t="s">
        <v>48</v>
      </c>
      <c r="F27" s="1">
        <v>40</v>
      </c>
    </row>
    <row r="28" spans="1:6">
      <c r="A28" s="1" t="s">
        <v>34</v>
      </c>
      <c r="B28" s="1" t="s">
        <v>35</v>
      </c>
      <c r="C28" s="1" t="s">
        <v>23</v>
      </c>
      <c r="D28" s="1" t="s">
        <v>44</v>
      </c>
      <c r="E28" s="1" t="s">
        <v>49</v>
      </c>
      <c r="F28" s="1">
        <v>20</v>
      </c>
    </row>
    <row r="29" spans="1:6">
      <c r="A29" s="1" t="s">
        <v>50</v>
      </c>
      <c r="B29" s="1" t="s">
        <v>7</v>
      </c>
      <c r="C29" s="1" t="s">
        <v>8</v>
      </c>
      <c r="D29" s="1" t="s">
        <v>51</v>
      </c>
      <c r="E29" s="1" t="s">
        <v>52</v>
      </c>
      <c r="F29" s="1">
        <v>30</v>
      </c>
    </row>
    <row r="30" spans="1:6">
      <c r="A30" s="1" t="s">
        <v>50</v>
      </c>
      <c r="B30" s="1" t="s">
        <v>7</v>
      </c>
      <c r="C30" s="1" t="s">
        <v>11</v>
      </c>
      <c r="D30" s="1" t="s">
        <v>51</v>
      </c>
      <c r="E30" s="1" t="s">
        <v>53</v>
      </c>
      <c r="F30" s="1">
        <v>50</v>
      </c>
    </row>
    <row r="31" spans="1:6">
      <c r="A31" s="1" t="s">
        <v>50</v>
      </c>
      <c r="B31" s="1" t="s">
        <v>7</v>
      </c>
      <c r="C31" s="1" t="s">
        <v>11</v>
      </c>
      <c r="D31" s="1" t="s">
        <v>51</v>
      </c>
      <c r="E31" s="1" t="s">
        <v>54</v>
      </c>
      <c r="F31" s="1">
        <v>70</v>
      </c>
    </row>
    <row r="32" spans="1:6">
      <c r="A32" s="1" t="s">
        <v>50</v>
      </c>
      <c r="B32" s="1" t="s">
        <v>7</v>
      </c>
      <c r="C32" s="1" t="s">
        <v>40</v>
      </c>
      <c r="D32" s="1" t="s">
        <v>51</v>
      </c>
      <c r="E32" s="1" t="s">
        <v>55</v>
      </c>
      <c r="F32" s="1">
        <v>80</v>
      </c>
    </row>
    <row r="33" spans="1:6">
      <c r="A33" s="1" t="s">
        <v>50</v>
      </c>
      <c r="B33" s="1" t="s">
        <v>7</v>
      </c>
      <c r="C33" s="1" t="s">
        <v>23</v>
      </c>
      <c r="D33" s="1" t="s">
        <v>51</v>
      </c>
      <c r="E33" s="1" t="s">
        <v>56</v>
      </c>
      <c r="F33" s="1">
        <v>90</v>
      </c>
    </row>
    <row r="34" spans="1:6">
      <c r="A34" s="1" t="s">
        <v>57</v>
      </c>
      <c r="B34" s="1" t="s">
        <v>58</v>
      </c>
      <c r="C34" s="1" t="s">
        <v>8</v>
      </c>
      <c r="D34" s="1" t="s">
        <v>59</v>
      </c>
      <c r="E34" s="1" t="s">
        <v>60</v>
      </c>
      <c r="F34" s="1">
        <v>100</v>
      </c>
    </row>
    <row r="35" spans="1:6">
      <c r="A35" s="1" t="s">
        <v>57</v>
      </c>
      <c r="B35" s="1" t="s">
        <v>58</v>
      </c>
      <c r="C35" s="1" t="s">
        <v>40</v>
      </c>
      <c r="D35" s="1" t="s">
        <v>59</v>
      </c>
      <c r="E35" s="1" t="s">
        <v>61</v>
      </c>
      <c r="F35" s="1">
        <v>50</v>
      </c>
    </row>
    <row r="36" spans="1:6">
      <c r="A36" s="1" t="s">
        <v>57</v>
      </c>
      <c r="B36" s="1" t="s">
        <v>58</v>
      </c>
      <c r="C36" s="1" t="s">
        <v>40</v>
      </c>
      <c r="D36" s="1" t="s">
        <v>59</v>
      </c>
      <c r="E36" s="1" t="s">
        <v>46</v>
      </c>
      <c r="F36" s="1">
        <v>70</v>
      </c>
    </row>
    <row r="37" spans="1:6">
      <c r="A37" s="1" t="s">
        <v>57</v>
      </c>
      <c r="B37" s="1" t="s">
        <v>58</v>
      </c>
      <c r="C37" s="1" t="s">
        <v>40</v>
      </c>
      <c r="D37" s="1" t="s">
        <v>59</v>
      </c>
      <c r="E37" s="1" t="s">
        <v>62</v>
      </c>
      <c r="F37" s="1">
        <v>90</v>
      </c>
    </row>
    <row r="38" spans="1:6">
      <c r="A38" s="1" t="s">
        <v>57</v>
      </c>
      <c r="B38" s="1" t="s">
        <v>58</v>
      </c>
      <c r="C38" s="1" t="s">
        <v>23</v>
      </c>
      <c r="D38" s="1" t="s">
        <v>59</v>
      </c>
      <c r="E38" s="1" t="s">
        <v>63</v>
      </c>
      <c r="F38" s="1">
        <v>100</v>
      </c>
    </row>
  </sheetData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A545AE7C-9BAA-4FB4-8B91-CD18993EAD3E}">
          <x14:formula1>
            <xm:f>List!$M$1:$M$10</xm:f>
          </x14:formula1>
          <xm:sqref>F2:F38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57E1-EA25-4175-9B5E-7E32DDEE5704}">
  <dimension ref="A1:M16"/>
  <sheetViews>
    <sheetView workbookViewId="0">
      <selection activeCell="I23" sqref="I23"/>
    </sheetView>
  </sheetViews>
  <sheetFormatPr defaultRowHeight="15"/>
  <sheetData>
    <row r="1" spans="1:13" ht="15.75" thickBot="1">
      <c r="A1" s="12" t="s">
        <v>64</v>
      </c>
      <c r="M1">
        <v>10</v>
      </c>
    </row>
    <row r="2" spans="1:13" ht="15.75" thickBot="1">
      <c r="A2" s="6" t="s">
        <v>65</v>
      </c>
      <c r="B2" s="6" t="s">
        <v>66</v>
      </c>
      <c r="C2" s="7" t="s">
        <v>67</v>
      </c>
      <c r="D2" s="6" t="s">
        <v>68</v>
      </c>
      <c r="E2" s="6" t="s">
        <v>69</v>
      </c>
      <c r="M2">
        <v>20</v>
      </c>
    </row>
    <row r="3" spans="1:13" ht="22.5" customHeight="1">
      <c r="A3" s="8" t="s">
        <v>70</v>
      </c>
      <c r="B3" s="8" t="s">
        <v>71</v>
      </c>
      <c r="C3" s="10" t="s">
        <v>72</v>
      </c>
      <c r="D3" s="18" t="s">
        <v>73</v>
      </c>
      <c r="E3" s="20" t="s">
        <v>74</v>
      </c>
      <c r="M3">
        <v>30</v>
      </c>
    </row>
    <row r="4" spans="1:13" ht="15.75" thickBot="1">
      <c r="A4" s="9" t="s">
        <v>75</v>
      </c>
      <c r="B4" s="9" t="s">
        <v>75</v>
      </c>
      <c r="C4" s="11" t="s">
        <v>76</v>
      </c>
      <c r="D4" s="19"/>
      <c r="E4" s="21"/>
      <c r="M4">
        <v>40</v>
      </c>
    </row>
    <row r="5" spans="1:13">
      <c r="M5">
        <v>50</v>
      </c>
    </row>
    <row r="6" spans="1:13" ht="15.75" thickBot="1">
      <c r="A6" s="12" t="s">
        <v>77</v>
      </c>
      <c r="M6">
        <v>60</v>
      </c>
    </row>
    <row r="7" spans="1:13" ht="15.75" thickBot="1">
      <c r="A7" s="6" t="s">
        <v>78</v>
      </c>
      <c r="B7" s="13" t="s">
        <v>65</v>
      </c>
      <c r="C7" s="13" t="s">
        <v>66</v>
      </c>
      <c r="D7" s="14" t="s">
        <v>67</v>
      </c>
      <c r="E7" s="13" t="s">
        <v>68</v>
      </c>
      <c r="F7" s="13" t="s">
        <v>69</v>
      </c>
      <c r="M7">
        <v>70</v>
      </c>
    </row>
    <row r="8" spans="1:13" ht="27" thickBot="1">
      <c r="A8" s="6" t="s">
        <v>79</v>
      </c>
      <c r="B8" s="13" t="s">
        <v>80</v>
      </c>
      <c r="C8" s="13" t="s">
        <v>81</v>
      </c>
      <c r="D8" s="14" t="s">
        <v>82</v>
      </c>
      <c r="E8" s="13" t="s">
        <v>83</v>
      </c>
      <c r="F8" s="13" t="s">
        <v>84</v>
      </c>
      <c r="M8">
        <v>80</v>
      </c>
    </row>
    <row r="9" spans="1:13">
      <c r="J9">
        <v>60</v>
      </c>
      <c r="M9">
        <v>90</v>
      </c>
    </row>
    <row r="10" spans="1:13" ht="15.75" thickBot="1">
      <c r="A10" s="12" t="s">
        <v>85</v>
      </c>
      <c r="J10">
        <v>95</v>
      </c>
      <c r="M10">
        <v>100</v>
      </c>
    </row>
    <row r="11" spans="1:13" ht="15.75" thickBot="1">
      <c r="A11" s="6" t="s">
        <v>78</v>
      </c>
      <c r="B11" s="13" t="s">
        <v>65</v>
      </c>
      <c r="C11" s="13" t="s">
        <v>66</v>
      </c>
      <c r="D11" s="14" t="s">
        <v>67</v>
      </c>
      <c r="E11" s="13" t="s">
        <v>68</v>
      </c>
      <c r="F11" s="13" t="s">
        <v>69</v>
      </c>
      <c r="J11">
        <v>100</v>
      </c>
    </row>
    <row r="12" spans="1:13" ht="78" thickBot="1">
      <c r="A12" s="6" t="s">
        <v>79</v>
      </c>
      <c r="B12" s="13" t="s">
        <v>86</v>
      </c>
      <c r="C12" s="13" t="s">
        <v>87</v>
      </c>
      <c r="D12" s="14" t="s">
        <v>88</v>
      </c>
      <c r="E12" s="13" t="s">
        <v>89</v>
      </c>
      <c r="F12" s="13" t="s">
        <v>90</v>
      </c>
    </row>
    <row r="14" spans="1:13">
      <c r="A14" s="12" t="s">
        <v>91</v>
      </c>
    </row>
    <row r="15" spans="1:13">
      <c r="A15" s="15" t="s">
        <v>92</v>
      </c>
      <c r="B15" s="16" t="s">
        <v>93</v>
      </c>
      <c r="C15" s="16" t="s">
        <v>94</v>
      </c>
      <c r="D15" s="17" t="s">
        <v>95</v>
      </c>
      <c r="E15" s="16" t="s">
        <v>96</v>
      </c>
      <c r="F15" s="16" t="s">
        <v>97</v>
      </c>
    </row>
    <row r="16" spans="1:13" ht="51">
      <c r="A16" s="15" t="s">
        <v>98</v>
      </c>
      <c r="B16" s="16" t="s">
        <v>99</v>
      </c>
      <c r="C16" s="16" t="s">
        <v>100</v>
      </c>
      <c r="D16" s="17" t="s">
        <v>101</v>
      </c>
      <c r="E16" s="16" t="s">
        <v>102</v>
      </c>
      <c r="F16" s="16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A18" sqref="A18"/>
    </sheetView>
  </sheetViews>
  <sheetFormatPr defaultColWidth="9.140625" defaultRowHeight="12.75"/>
  <cols>
    <col min="1" max="1" width="40.85546875" style="2" bestFit="1" customWidth="1"/>
    <col min="2" max="2" width="12" style="2" bestFit="1" customWidth="1"/>
    <col min="3" max="3" width="10.85546875" style="2" bestFit="1" customWidth="1"/>
    <col min="4" max="4" width="10.85546875" style="2" customWidth="1"/>
    <col min="5" max="5" width="25" style="2" bestFit="1" customWidth="1"/>
    <col min="6" max="6" width="12" style="2" bestFit="1" customWidth="1"/>
    <col min="7" max="7" width="10.85546875" style="2" bestFit="1" customWidth="1"/>
    <col min="8" max="16384" width="9.140625" style="2"/>
  </cols>
  <sheetData>
    <row r="1" spans="1:7">
      <c r="A1" s="24" t="s">
        <v>104</v>
      </c>
      <c r="B1" s="24"/>
      <c r="C1" s="24"/>
      <c r="D1" s="24"/>
      <c r="E1" s="24"/>
      <c r="F1" s="24"/>
      <c r="G1" s="24"/>
    </row>
    <row r="3" spans="1:7">
      <c r="A3" s="25" t="s">
        <v>105</v>
      </c>
      <c r="B3" s="25"/>
    </row>
    <row r="4" spans="1:7">
      <c r="A4" s="4" t="s">
        <v>106</v>
      </c>
      <c r="B4" s="5">
        <f>AVERAGE(Health_Check!F:F)</f>
        <v>52.162162162162161</v>
      </c>
    </row>
    <row r="5" spans="1:7">
      <c r="A5" s="4" t="s">
        <v>107</v>
      </c>
      <c r="B5" s="4" t="str">
        <f>IF(B4&gt;=90,"STRONG",IF(B4&gt;=70,"MODERATE","WEAK"))</f>
        <v>WEAK</v>
      </c>
    </row>
    <row r="6" spans="1:7">
      <c r="A6" s="4" t="s">
        <v>108</v>
      </c>
      <c r="B6" s="4" t="str">
        <f>IF(B4&gt;=70,"YES","NO")</f>
        <v>NO</v>
      </c>
    </row>
    <row r="8" spans="1:7">
      <c r="A8" s="25" t="s">
        <v>109</v>
      </c>
      <c r="B8" s="25"/>
      <c r="C8" s="25"/>
      <c r="D8" s="3"/>
      <c r="E8" s="25" t="s">
        <v>110</v>
      </c>
      <c r="F8" s="25"/>
      <c r="G8" s="25"/>
    </row>
    <row r="9" spans="1:7">
      <c r="A9" s="4" t="s">
        <v>7</v>
      </c>
      <c r="B9" s="4">
        <f>AVERAGEIF(Health_Check!B:B,"Delivery",Health_Check!F:F)</f>
        <v>44</v>
      </c>
      <c r="C9" s="4" t="str">
        <f>IF(B9&gt;=90,"STRONG",IF(B9&gt;=70,"MODERATE","WEAK"))</f>
        <v>WEAK</v>
      </c>
      <c r="E9" s="4" t="s">
        <v>6</v>
      </c>
      <c r="F9" s="4">
        <f>IFERROR(AVERAGEIF(Health_Check!A:A,"Business Process Design",Health_Check!F:F),0)</f>
        <v>24</v>
      </c>
      <c r="G9" s="4" t="str">
        <f t="shared" ref="G9:G14" si="0">IF(F9&gt;=90,"STRONG",IF(F9&gt;=70,"MODERATE","WEAK"))</f>
        <v>WEAK</v>
      </c>
    </row>
    <row r="10" spans="1:7">
      <c r="A10" s="4" t="s">
        <v>17</v>
      </c>
      <c r="B10" s="4">
        <f>AVERAGEIF(Health_Check!B:B,"Strategy",Health_Check!F:F)</f>
        <v>70</v>
      </c>
      <c r="C10" s="4" t="str">
        <f>IF(B10&gt;=90,"STRONG",IF(B10&gt;=70,"MODERATE","WEAK"))</f>
        <v>MODERATE</v>
      </c>
      <c r="E10" s="4" t="s">
        <v>26</v>
      </c>
      <c r="F10" s="4">
        <f>IFERROR(AVERAGEIF(Health_Check!A:A,"Workforce Management",Health_Check!F:F),0)</f>
        <v>24</v>
      </c>
      <c r="G10" s="4" t="str">
        <f t="shared" si="0"/>
        <v>WEAK</v>
      </c>
    </row>
    <row r="11" spans="1:7">
      <c r="A11" s="4" t="s">
        <v>27</v>
      </c>
      <c r="B11" s="4">
        <f>AVERAGEIF(Health_Check!B:B,"People",Health_Check!F:F)</f>
        <v>24</v>
      </c>
      <c r="C11" s="4" t="str">
        <f>IF(B11&gt;=90,"STRONG",IF(B11&gt;=70,"MODERATE","WEAK"))</f>
        <v>WEAK</v>
      </c>
      <c r="E11" s="4" t="s">
        <v>16</v>
      </c>
      <c r="F11" s="4">
        <f>IFERROR(AVERAGEIF(Health_Check!A:A,"Strategy Deployment",Health_Check!F:F),0)</f>
        <v>70</v>
      </c>
      <c r="G11" s="4" t="str">
        <f t="shared" si="0"/>
        <v>MODERATE</v>
      </c>
    </row>
    <row r="12" spans="1:7">
      <c r="A12" s="4" t="s">
        <v>35</v>
      </c>
      <c r="B12" s="5">
        <f>AVERAGEIF(Health_Check!B:B,"Customer",Health_Check!F:F)</f>
        <v>49.090909090909093</v>
      </c>
      <c r="C12" s="4" t="str">
        <f>IF(B12&gt;=90,"STRONG",IF(B12&gt;=70,"MODERATE","WEAK"))</f>
        <v>WEAK</v>
      </c>
      <c r="E12" s="4" t="s">
        <v>34</v>
      </c>
      <c r="F12" s="5">
        <f>IFERROR(AVERAGEIF(Health_Check!A:A,"Customer Dialogue Mgmt",Health_Check!F:F),0)</f>
        <v>49.090909090909093</v>
      </c>
      <c r="G12" s="4" t="str">
        <f t="shared" si="0"/>
        <v>WEAK</v>
      </c>
    </row>
    <row r="13" spans="1:7">
      <c r="A13" s="4" t="s">
        <v>58</v>
      </c>
      <c r="B13" s="4">
        <f>AVERAGEIF(Health_Check!B:B,"Improvement",Health_Check!F:F)</f>
        <v>82</v>
      </c>
      <c r="C13" s="4" t="str">
        <f>IF(B13&gt;=90,"STRONG",IF(B13&gt;=70,"MODERATE","WEAK"))</f>
        <v>MODERATE</v>
      </c>
      <c r="E13" s="4" t="s">
        <v>50</v>
      </c>
      <c r="F13" s="4">
        <f>IFERROR(AVERAGEIF(Health_Check!A:A,"Performance Management",Health_Check!F:F),0)</f>
        <v>64</v>
      </c>
      <c r="G13" s="4" t="str">
        <f t="shared" si="0"/>
        <v>WEAK</v>
      </c>
    </row>
    <row r="14" spans="1:7">
      <c r="E14" s="4" t="s">
        <v>57</v>
      </c>
      <c r="F14" s="4">
        <f>IFERROR(AVERAGEIF(Health_Check!A:A,"Daily Improvement",Health_Check!F:F),0)</f>
        <v>82</v>
      </c>
      <c r="G14" s="4" t="str">
        <f t="shared" si="0"/>
        <v>MODERATE</v>
      </c>
    </row>
    <row r="16" spans="1:7">
      <c r="A16" s="25" t="s">
        <v>111</v>
      </c>
      <c r="B16" s="25"/>
      <c r="C16" s="25"/>
      <c r="E16" s="25" t="s">
        <v>112</v>
      </c>
      <c r="F16" s="25"/>
    </row>
    <row r="17" spans="1:6">
      <c r="A17" s="4" t="s">
        <v>8</v>
      </c>
      <c r="B17" s="5">
        <f>AVERAGEIF(Health_Check!C:C,"Adoption",Health_Check!F:F)</f>
        <v>37</v>
      </c>
      <c r="C17" s="4" t="str">
        <f>IF(B17&gt;=90,"STRONG",IF(B17&gt;=70,"MODERATE","WEAK"))</f>
        <v>WEAK</v>
      </c>
      <c r="E17" s="4" t="s">
        <v>113</v>
      </c>
      <c r="F17" s="4" t="str">
        <f>INDEX(A9:A13, MATCH(MIN(B9:B13), B9:B13, 0))</f>
        <v>People</v>
      </c>
    </row>
    <row r="18" spans="1:6">
      <c r="A18" s="4" t="s">
        <v>11</v>
      </c>
      <c r="B18" s="5">
        <f>AVERAGEIF(Health_Check!C:C,"Discipline",Health_Check!F:F)</f>
        <v>45.384615384615387</v>
      </c>
      <c r="C18" s="4" t="str">
        <f>IF(B18&gt;=90,"STRONG",IF(B18&gt;=70,"MODERATE","WEAK"))</f>
        <v>WEAK</v>
      </c>
      <c r="E18" s="4" t="s">
        <v>114</v>
      </c>
      <c r="F18" s="4" t="e">
        <f ca="1">INDEX(E9:E20, MATCH(MIN(F9:F20), F9:F20, 0))</f>
        <v>#DIV/0!</v>
      </c>
    </row>
    <row r="19" spans="1:6">
      <c r="A19" s="4" t="s">
        <v>40</v>
      </c>
      <c r="B19" s="5">
        <f>AVERAGEIF(Health_Check!C:C,"Problem Solving",Health_Check!F:F)</f>
        <v>76.666666666666671</v>
      </c>
      <c r="C19" s="4" t="str">
        <f>IF(B19&gt;=90,"STRONG",IF(B19&gt;=70,"MODERATE","WEAK"))</f>
        <v>MODERATE</v>
      </c>
      <c r="E19" s="4" t="s">
        <v>115</v>
      </c>
      <c r="F19" s="4" t="str">
        <f>INDEX(A17:A20, MATCH(MIN(B17:B20), B17:B20, 0))</f>
        <v>Adoption</v>
      </c>
    </row>
    <row r="20" spans="1:6">
      <c r="A20" s="4" t="s">
        <v>23</v>
      </c>
      <c r="B20" s="5">
        <f>AVERAGEIF(Health_Check!C:C,"Stability",Health_Check!F:F)</f>
        <v>63.75</v>
      </c>
      <c r="C20" s="4" t="str">
        <f>IF(B20&gt;=90,"STRONG",IF(B20&gt;=70,"MODERATE","WEAK"))</f>
        <v>WEAK</v>
      </c>
    </row>
  </sheetData>
  <mergeCells count="6">
    <mergeCell ref="A1:G1"/>
    <mergeCell ref="A3:B3"/>
    <mergeCell ref="A8:C8"/>
    <mergeCell ref="A16:C16"/>
    <mergeCell ref="E8:G8"/>
    <mergeCell ref="E16:F1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117857-1b40-4529-96fe-e12121dff9d1">
      <Terms xmlns="http://schemas.microsoft.com/office/infopath/2007/PartnerControls"/>
    </lcf76f155ced4ddcb4097134ff3c332f>
    <TaxCatchAll xmlns="3bec6736-f049-4e97-9529-4e2e8a8c5aa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6D2D7A9260E2418FC1960F8A163C2C" ma:contentTypeVersion="15" ma:contentTypeDescription="Create a new document." ma:contentTypeScope="" ma:versionID="1797e5752127d5e6e94bc3b31daa449a">
  <xsd:schema xmlns:xsd="http://www.w3.org/2001/XMLSchema" xmlns:xs="http://www.w3.org/2001/XMLSchema" xmlns:p="http://schemas.microsoft.com/office/2006/metadata/properties" xmlns:ns2="1a117857-1b40-4529-96fe-e12121dff9d1" xmlns:ns3="3bec6736-f049-4e97-9529-4e2e8a8c5aa9" targetNamespace="http://schemas.microsoft.com/office/2006/metadata/properties" ma:root="true" ma:fieldsID="4a0e2c12c4cea3877ed68d51d5e4f5ab" ns2:_="" ns3:_="">
    <xsd:import namespace="1a117857-1b40-4529-96fe-e12121dff9d1"/>
    <xsd:import namespace="3bec6736-f049-4e97-9529-4e2e8a8c5a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17857-1b40-4529-96fe-e12121dff9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1e36a97-9088-4fd5-a83c-fa7938b07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c6736-f049-4e97-9529-4e2e8a8c5aa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b1a7b76-0b42-442c-a385-010edc3b48ec}" ma:internalName="TaxCatchAll" ma:showField="CatchAllData" ma:web="3bec6736-f049-4e97-9529-4e2e8a8c5a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5006A4-3645-495D-AC62-5FFBE17383B8}"/>
</file>

<file path=customXml/itemProps2.xml><?xml version="1.0" encoding="utf-8"?>
<ds:datastoreItem xmlns:ds="http://schemas.openxmlformats.org/officeDocument/2006/customXml" ds:itemID="{9BEC80FB-EE37-42E2-A206-FF4EEF7124E2}"/>
</file>

<file path=customXml/itemProps3.xml><?xml version="1.0" encoding="utf-8"?>
<ds:datastoreItem xmlns:ds="http://schemas.openxmlformats.org/officeDocument/2006/customXml" ds:itemID="{B33F886C-FA99-4318-BCB0-29512C305B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2026-03-31T09:55:23Z</dcterms:created>
  <dcterms:modified xsi:type="dcterms:W3CDTF">2026-04-05T03:32:13Z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0x0101007D6D2D7A9260E2418FC1960F8A163C2C</vt:lpwstr>
  </property>
  <property fmtid="{D5CDD505-2E9C-101B-9397-08002B2CF9AE}" pid="3" name="MediaServiceImageTags">
    <vt:lpwstr/>
  </property>
</Properties>
</file>